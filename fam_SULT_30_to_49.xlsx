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04" yWindow="552" windowWidth="22716" windowHeight="9468" activeTab="1"/>
  </bookViews>
  <sheets>
    <sheet name="SULT" sheetId="1" r:id="rId1"/>
    <sheet name="qx_extracted" sheetId="2" r:id="rId2"/>
  </sheets>
  <calcPr calcId="125725"/>
</workbook>
</file>

<file path=xl/calcChain.xml><?xml version="1.0" encoding="utf-8"?>
<calcChain xmlns="http://schemas.openxmlformats.org/spreadsheetml/2006/main">
  <c r="C21" i="2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</calcChain>
</file>

<file path=xl/sharedStrings.xml><?xml version="1.0" encoding="utf-8"?>
<sst xmlns="http://schemas.openxmlformats.org/spreadsheetml/2006/main" count="17" uniqueCount="15">
  <si>
    <t>x</t>
  </si>
  <si>
    <t>lx</t>
  </si>
  <si>
    <t>qx</t>
  </si>
  <si>
    <t>a_x</t>
  </si>
  <si>
    <t>A_x</t>
  </si>
  <si>
    <t>2A_x</t>
  </si>
  <si>
    <t>a_x10</t>
  </si>
  <si>
    <t>A_x10</t>
  </si>
  <si>
    <t>a_x20</t>
  </si>
  <si>
    <t>A_x20</t>
  </si>
  <si>
    <t>5E_x</t>
  </si>
  <si>
    <t>10E_x</t>
  </si>
  <si>
    <t>20E_x</t>
  </si>
  <si>
    <t>age</t>
  </si>
  <si>
    <t>lx_norm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</si>
</sst>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30</v>
      </c>
      <c r="B2">
        <v>99727.3</v>
      </c>
      <c r="C2">
        <v>3.1500000000000001E-4</v>
      </c>
      <c r="D2">
        <v>19.383400000000002</v>
      </c>
      <c r="E2">
        <v>7.6980000000000007E-2</v>
      </c>
      <c r="F2">
        <v>1.1089999999999999E-2</v>
      </c>
      <c r="G2">
        <v>8.0960999999999999</v>
      </c>
      <c r="H2">
        <v>0.61446999999999996</v>
      </c>
      <c r="I2">
        <v>13.041</v>
      </c>
      <c r="J2">
        <v>0.379</v>
      </c>
      <c r="K2">
        <v>0.78219000000000005</v>
      </c>
      <c r="L2">
        <v>0.61151999999999995</v>
      </c>
      <c r="M2">
        <v>0.37253999999999998</v>
      </c>
    </row>
    <row r="3" spans="1:13">
      <c r="A3">
        <v>31</v>
      </c>
      <c r="B3">
        <v>99695.8</v>
      </c>
      <c r="C3">
        <v>3.2699999999999998E-4</v>
      </c>
      <c r="D3">
        <v>19.308599999999998</v>
      </c>
      <c r="E3">
        <v>8.054E-2</v>
      </c>
      <c r="F3">
        <v>1.192E-2</v>
      </c>
      <c r="G3">
        <v>8.0955999999999992</v>
      </c>
      <c r="H3">
        <v>0.61450000000000005</v>
      </c>
      <c r="I3">
        <v>13.038399999999999</v>
      </c>
      <c r="J3">
        <v>0.37913000000000002</v>
      </c>
      <c r="K3">
        <v>0.78212999999999999</v>
      </c>
      <c r="L3">
        <v>0.61138999999999999</v>
      </c>
      <c r="M3">
        <v>0.37220999999999999</v>
      </c>
    </row>
    <row r="4" spans="1:13">
      <c r="A4">
        <v>32</v>
      </c>
      <c r="B4">
        <v>99663.2</v>
      </c>
      <c r="C4">
        <v>3.4099999999999999E-4</v>
      </c>
      <c r="D4">
        <v>19.2303</v>
      </c>
      <c r="E4">
        <v>8.4269999999999998E-2</v>
      </c>
      <c r="F4">
        <v>1.281E-2</v>
      </c>
      <c r="G4">
        <v>8.0949000000000009</v>
      </c>
      <c r="H4">
        <v>0.61453000000000002</v>
      </c>
      <c r="I4">
        <v>13.035399999999999</v>
      </c>
      <c r="J4">
        <v>0.37927</v>
      </c>
      <c r="K4">
        <v>0.78205999999999998</v>
      </c>
      <c r="L4">
        <v>0.61124000000000001</v>
      </c>
      <c r="M4">
        <v>0.37182999999999999</v>
      </c>
    </row>
    <row r="5" spans="1:13">
      <c r="A5">
        <v>33</v>
      </c>
      <c r="B5">
        <v>99629.3</v>
      </c>
      <c r="C5">
        <v>3.5599999999999998E-4</v>
      </c>
      <c r="D5">
        <v>19.148399999999999</v>
      </c>
      <c r="E5">
        <v>8.8169999999999998E-2</v>
      </c>
      <c r="F5">
        <v>1.379E-2</v>
      </c>
      <c r="G5">
        <v>8.0943000000000005</v>
      </c>
      <c r="H5">
        <v>0.61456</v>
      </c>
      <c r="I5">
        <v>13.032</v>
      </c>
      <c r="J5">
        <v>0.37942999999999999</v>
      </c>
      <c r="K5">
        <v>0.78198999999999996</v>
      </c>
      <c r="L5">
        <v>0.61107999999999996</v>
      </c>
      <c r="M5">
        <v>0.37141000000000002</v>
      </c>
    </row>
    <row r="6" spans="1:13">
      <c r="A6">
        <v>34</v>
      </c>
      <c r="B6">
        <v>99593.8</v>
      </c>
      <c r="C6">
        <v>3.7199999999999999E-4</v>
      </c>
      <c r="D6">
        <v>19.0626</v>
      </c>
      <c r="E6">
        <v>9.2259999999999995E-2</v>
      </c>
      <c r="F6">
        <v>1.486E-2</v>
      </c>
      <c r="G6">
        <v>8.0935000000000006</v>
      </c>
      <c r="H6">
        <v>0.61460000000000004</v>
      </c>
      <c r="I6">
        <v>13.0282</v>
      </c>
      <c r="J6">
        <v>0.37961</v>
      </c>
      <c r="K6">
        <v>0.78190000000000004</v>
      </c>
      <c r="L6">
        <v>0.6109</v>
      </c>
      <c r="M6">
        <v>0.37093999999999999</v>
      </c>
    </row>
    <row r="7" spans="1:13">
      <c r="A7">
        <v>35</v>
      </c>
      <c r="B7">
        <v>99556.7</v>
      </c>
      <c r="C7">
        <v>3.9100000000000002E-4</v>
      </c>
      <c r="D7">
        <v>18.972799999999999</v>
      </c>
      <c r="E7">
        <v>9.6530000000000005E-2</v>
      </c>
      <c r="F7">
        <v>1.601E-2</v>
      </c>
      <c r="G7">
        <v>8.0925999999999991</v>
      </c>
      <c r="H7">
        <v>0.61463999999999996</v>
      </c>
      <c r="I7">
        <v>13.023999999999999</v>
      </c>
      <c r="J7">
        <v>0.37980999999999998</v>
      </c>
      <c r="K7">
        <v>0.78181</v>
      </c>
      <c r="L7">
        <v>0.61068999999999996</v>
      </c>
      <c r="M7">
        <v>0.37041000000000002</v>
      </c>
    </row>
    <row r="8" spans="1:13">
      <c r="A8">
        <v>36</v>
      </c>
      <c r="B8">
        <v>99517.8</v>
      </c>
      <c r="C8">
        <v>4.1199999999999999E-4</v>
      </c>
      <c r="D8">
        <v>18.878799999999998</v>
      </c>
      <c r="E8">
        <v>0.10101</v>
      </c>
      <c r="F8">
        <v>1.7270000000000001E-2</v>
      </c>
      <c r="G8">
        <v>8.0915999999999997</v>
      </c>
      <c r="H8">
        <v>0.61468</v>
      </c>
      <c r="I8">
        <v>13.0192</v>
      </c>
      <c r="J8">
        <v>0.38003999999999999</v>
      </c>
      <c r="K8">
        <v>0.78169999999999995</v>
      </c>
      <c r="L8">
        <v>0.61046</v>
      </c>
      <c r="M8">
        <v>0.36981999999999998</v>
      </c>
    </row>
    <row r="9" spans="1:13">
      <c r="A9">
        <v>37</v>
      </c>
      <c r="B9">
        <v>99476.7</v>
      </c>
      <c r="C9">
        <v>4.3600000000000003E-4</v>
      </c>
      <c r="D9">
        <v>18.7805</v>
      </c>
      <c r="E9">
        <v>0.10569000000000001</v>
      </c>
      <c r="F9">
        <v>1.8630000000000001E-2</v>
      </c>
      <c r="G9">
        <v>8.0905000000000005</v>
      </c>
      <c r="H9">
        <v>0.61473999999999995</v>
      </c>
      <c r="I9">
        <v>13.0138</v>
      </c>
      <c r="J9">
        <v>0.38029000000000002</v>
      </c>
      <c r="K9">
        <v>0.78158000000000005</v>
      </c>
      <c r="L9">
        <v>0.61019999999999996</v>
      </c>
      <c r="M9">
        <v>0.36914999999999998</v>
      </c>
    </row>
    <row r="10" spans="1:13">
      <c r="A10">
        <v>38</v>
      </c>
      <c r="B10">
        <v>99433.3</v>
      </c>
      <c r="C10">
        <v>4.6299999999999998E-4</v>
      </c>
      <c r="D10">
        <v>18.677700000000002</v>
      </c>
      <c r="E10">
        <v>0.11058999999999999</v>
      </c>
      <c r="F10">
        <v>2.0119999999999999E-2</v>
      </c>
      <c r="G10">
        <v>8.0892999999999997</v>
      </c>
      <c r="H10">
        <v>0.61480000000000001</v>
      </c>
      <c r="I10">
        <v>13.0078</v>
      </c>
      <c r="J10">
        <v>0.38057999999999997</v>
      </c>
      <c r="K10">
        <v>0.78144999999999998</v>
      </c>
      <c r="L10">
        <v>0.6099</v>
      </c>
      <c r="M10">
        <v>0.36841000000000002</v>
      </c>
    </row>
    <row r="11" spans="1:13">
      <c r="A11">
        <v>39</v>
      </c>
      <c r="B11">
        <v>99387.3</v>
      </c>
      <c r="C11">
        <v>4.9299999999999995E-4</v>
      </c>
      <c r="D11">
        <v>18.5701</v>
      </c>
      <c r="E11">
        <v>0.11570999999999999</v>
      </c>
      <c r="F11">
        <v>2.1729999999999999E-2</v>
      </c>
      <c r="G11">
        <v>8.0878999999999994</v>
      </c>
      <c r="H11">
        <v>0.61485999999999996</v>
      </c>
      <c r="I11">
        <v>13.001099999999999</v>
      </c>
      <c r="J11">
        <v>0.38090000000000002</v>
      </c>
      <c r="K11">
        <v>0.78129999999999999</v>
      </c>
      <c r="L11">
        <v>0.60956999999999995</v>
      </c>
      <c r="M11">
        <v>0.36757000000000001</v>
      </c>
    </row>
    <row r="12" spans="1:13">
      <c r="A12">
        <v>40</v>
      </c>
      <c r="B12">
        <v>99338.3</v>
      </c>
      <c r="C12">
        <v>5.2700000000000002E-4</v>
      </c>
      <c r="D12">
        <v>18.457799999999999</v>
      </c>
      <c r="E12">
        <v>0.12106</v>
      </c>
      <c r="F12">
        <v>2.3470000000000001E-2</v>
      </c>
      <c r="G12">
        <v>8.0862999999999996</v>
      </c>
      <c r="H12">
        <v>0.61494000000000004</v>
      </c>
      <c r="I12">
        <v>12.993499999999999</v>
      </c>
      <c r="J12">
        <v>0.38125999999999999</v>
      </c>
      <c r="K12">
        <v>0.78112999999999999</v>
      </c>
      <c r="L12">
        <v>0.60919999999999996</v>
      </c>
      <c r="M12">
        <v>0.36663000000000001</v>
      </c>
    </row>
    <row r="13" spans="1:13">
      <c r="A13">
        <v>41</v>
      </c>
      <c r="B13">
        <v>99285.9</v>
      </c>
      <c r="C13">
        <v>5.6499999999999996E-4</v>
      </c>
      <c r="D13">
        <v>18.340299999999999</v>
      </c>
      <c r="E13">
        <v>0.12665000000000001</v>
      </c>
      <c r="F13">
        <v>2.5360000000000001E-2</v>
      </c>
      <c r="G13">
        <v>8.0846</v>
      </c>
      <c r="H13">
        <v>0.61502000000000001</v>
      </c>
      <c r="I13">
        <v>12.984999999999999</v>
      </c>
      <c r="J13">
        <v>0.38167000000000001</v>
      </c>
      <c r="K13">
        <v>0.78093999999999997</v>
      </c>
      <c r="L13">
        <v>0.60879000000000005</v>
      </c>
      <c r="M13">
        <v>0.36558000000000002</v>
      </c>
    </row>
    <row r="14" spans="1:13">
      <c r="A14">
        <v>42</v>
      </c>
      <c r="B14">
        <v>99229.8</v>
      </c>
      <c r="C14">
        <v>6.0800000000000003E-4</v>
      </c>
      <c r="D14">
        <v>18.217600000000001</v>
      </c>
      <c r="E14">
        <v>0.13249</v>
      </c>
      <c r="F14">
        <v>2.741E-2</v>
      </c>
      <c r="G14">
        <v>8.0825999999999993</v>
      </c>
      <c r="H14">
        <v>0.61511000000000005</v>
      </c>
      <c r="I14">
        <v>12.9754</v>
      </c>
      <c r="J14">
        <v>0.38212000000000002</v>
      </c>
      <c r="K14">
        <v>0.78071999999999997</v>
      </c>
      <c r="L14">
        <v>0.60831999999999997</v>
      </c>
      <c r="M14">
        <v>0.3644</v>
      </c>
    </row>
    <row r="15" spans="1:13">
      <c r="A15">
        <v>43</v>
      </c>
      <c r="B15">
        <v>99169.4</v>
      </c>
      <c r="C15">
        <v>6.5600000000000001E-4</v>
      </c>
      <c r="D15">
        <v>18.089500000000001</v>
      </c>
      <c r="E15">
        <v>0.13858999999999999</v>
      </c>
      <c r="F15">
        <v>2.963E-2</v>
      </c>
      <c r="G15">
        <v>8.0803999999999991</v>
      </c>
      <c r="H15">
        <v>0.61521999999999999</v>
      </c>
      <c r="I15">
        <v>12.964700000000001</v>
      </c>
      <c r="J15">
        <v>0.38263000000000003</v>
      </c>
      <c r="K15">
        <v>0.78047999999999995</v>
      </c>
      <c r="L15">
        <v>0.60780000000000001</v>
      </c>
      <c r="M15">
        <v>0.36307</v>
      </c>
    </row>
    <row r="16" spans="1:13">
      <c r="A16">
        <v>44</v>
      </c>
      <c r="B16">
        <v>99104.3</v>
      </c>
      <c r="C16">
        <v>7.1000000000000002E-4</v>
      </c>
      <c r="D16">
        <v>17.9558</v>
      </c>
      <c r="E16">
        <v>0.14496000000000001</v>
      </c>
      <c r="F16">
        <v>3.2030000000000003E-2</v>
      </c>
      <c r="G16">
        <v>8.0778999999999996</v>
      </c>
      <c r="H16">
        <v>0.61534</v>
      </c>
      <c r="I16">
        <v>12.9526</v>
      </c>
      <c r="J16">
        <v>0.38321</v>
      </c>
      <c r="K16">
        <v>0.78020999999999996</v>
      </c>
      <c r="L16">
        <v>0.60721000000000003</v>
      </c>
      <c r="M16">
        <v>0.36159000000000002</v>
      </c>
    </row>
    <row r="17" spans="1:13">
      <c r="A17">
        <v>45</v>
      </c>
      <c r="B17">
        <v>99033.9</v>
      </c>
      <c r="C17">
        <v>7.7099999999999998E-4</v>
      </c>
      <c r="D17">
        <v>17.816199999999998</v>
      </c>
      <c r="E17">
        <v>0.15160999999999999</v>
      </c>
      <c r="F17">
        <v>3.4630000000000001E-2</v>
      </c>
      <c r="G17">
        <v>8.0751000000000008</v>
      </c>
      <c r="H17">
        <v>0.61546999999999996</v>
      </c>
      <c r="I17">
        <v>12.9391</v>
      </c>
      <c r="J17">
        <v>0.38385000000000002</v>
      </c>
      <c r="K17">
        <v>0.77990999999999999</v>
      </c>
      <c r="L17">
        <v>0.60655000000000003</v>
      </c>
      <c r="M17">
        <v>0.35993999999999998</v>
      </c>
    </row>
    <row r="18" spans="1:13">
      <c r="A18">
        <v>46</v>
      </c>
      <c r="B18">
        <v>98957.6</v>
      </c>
      <c r="C18">
        <v>8.3900000000000001E-4</v>
      </c>
      <c r="D18">
        <v>17.6706</v>
      </c>
      <c r="E18">
        <v>0.15853999999999999</v>
      </c>
      <c r="F18">
        <v>3.7440000000000001E-2</v>
      </c>
      <c r="G18">
        <v>8.0719999999999992</v>
      </c>
      <c r="H18">
        <v>0.61561999999999995</v>
      </c>
      <c r="I18">
        <v>12.923999999999999</v>
      </c>
      <c r="J18">
        <v>0.38457000000000002</v>
      </c>
      <c r="K18">
        <v>0.77956000000000003</v>
      </c>
      <c r="L18">
        <v>0.60580999999999996</v>
      </c>
      <c r="M18">
        <v>0.35809000000000002</v>
      </c>
    </row>
    <row r="19" spans="1:13">
      <c r="A19">
        <v>47</v>
      </c>
      <c r="B19">
        <v>98874.5</v>
      </c>
      <c r="C19">
        <v>9.1600000000000004E-4</v>
      </c>
      <c r="D19">
        <v>17.518899999999999</v>
      </c>
      <c r="E19">
        <v>0.16577</v>
      </c>
      <c r="F19">
        <v>4.0469999999999999E-2</v>
      </c>
      <c r="G19">
        <v>8.0684000000000005</v>
      </c>
      <c r="H19">
        <v>0.61578999999999995</v>
      </c>
      <c r="I19">
        <v>12.907</v>
      </c>
      <c r="J19">
        <v>0.38538</v>
      </c>
      <c r="K19">
        <v>0.77917999999999998</v>
      </c>
      <c r="L19">
        <v>0.60497999999999996</v>
      </c>
      <c r="M19">
        <v>0.35600999999999999</v>
      </c>
    </row>
    <row r="20" spans="1:13">
      <c r="A20">
        <v>48</v>
      </c>
      <c r="B20">
        <v>98783.9</v>
      </c>
      <c r="C20">
        <v>1.003E-3</v>
      </c>
      <c r="D20">
        <v>17.360700000000001</v>
      </c>
      <c r="E20">
        <v>0.17330000000000001</v>
      </c>
      <c r="F20">
        <v>4.3740000000000001E-2</v>
      </c>
      <c r="G20">
        <v>8.0645000000000007</v>
      </c>
      <c r="H20">
        <v>0.61597999999999997</v>
      </c>
      <c r="I20">
        <v>12.888</v>
      </c>
      <c r="J20">
        <v>0.38629000000000002</v>
      </c>
      <c r="K20">
        <v>0.77875000000000005</v>
      </c>
      <c r="L20">
        <v>0.60404000000000002</v>
      </c>
      <c r="M20">
        <v>0.35370000000000001</v>
      </c>
    </row>
    <row r="21" spans="1:13">
      <c r="A21">
        <v>49</v>
      </c>
      <c r="B21">
        <v>98684.9</v>
      </c>
      <c r="C21">
        <v>1.1000000000000001E-3</v>
      </c>
      <c r="D21">
        <v>17.196000000000002</v>
      </c>
      <c r="E21">
        <v>0.18114</v>
      </c>
      <c r="F21">
        <v>4.727E-2</v>
      </c>
      <c r="G21">
        <v>8.06</v>
      </c>
      <c r="H21">
        <v>0.61619000000000002</v>
      </c>
      <c r="I21">
        <v>12.8667</v>
      </c>
      <c r="J21">
        <v>0.38729999999999998</v>
      </c>
      <c r="K21">
        <v>0.77827000000000002</v>
      </c>
      <c r="L21">
        <v>0.60299000000000003</v>
      </c>
      <c r="M21">
        <v>0.35111999999999999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G18" sqref="G18:H18"/>
    </sheetView>
  </sheetViews>
  <sheetFormatPr defaultRowHeight="14.4"/>
  <sheetData>
    <row r="1" spans="1:4">
      <c r="A1" t="s">
        <v>13</v>
      </c>
      <c r="B1" t="s">
        <v>2</v>
      </c>
      <c r="C1" t="s">
        <v>1</v>
      </c>
      <c r="D1" t="s">
        <v>14</v>
      </c>
    </row>
    <row r="2" spans="1:4">
      <c r="A2">
        <v>30</v>
      </c>
      <c r="B2">
        <f>VLOOKUP(A2, SULT!$A$2:$M$21, 3, FALSE)</f>
        <v>3.1500000000000001E-4</v>
      </c>
      <c r="C2">
        <f>VLOOKUP(A2, SULT!$A$2:$M$21, 2, FALSE)</f>
        <v>99727.3</v>
      </c>
      <c r="D2">
        <v>1</v>
      </c>
    </row>
    <row r="3" spans="1:4">
      <c r="A3">
        <v>31</v>
      </c>
      <c r="B3">
        <f>VLOOKUP(A3, SULT!$A$2:$M$21, 3, FALSE)</f>
        <v>3.2699999999999998E-4</v>
      </c>
      <c r="C3">
        <f>VLOOKUP(A3, SULT!$A$2:$M$21, 2, FALSE)</f>
        <v>99695.8</v>
      </c>
      <c r="D3">
        <v>0.99968413864608785</v>
      </c>
    </row>
    <row r="4" spans="1:4">
      <c r="A4">
        <v>32</v>
      </c>
      <c r="B4">
        <f>VLOOKUP(A4, SULT!$A$2:$M$21, 3, FALSE)</f>
        <v>3.4099999999999999E-4</v>
      </c>
      <c r="C4">
        <f>VLOOKUP(A4, SULT!$A$2:$M$21, 2, FALSE)</f>
        <v>99663.2</v>
      </c>
      <c r="D4">
        <v>0.99935724721315022</v>
      </c>
    </row>
    <row r="5" spans="1:4">
      <c r="A5">
        <v>33</v>
      </c>
      <c r="B5">
        <f>VLOOKUP(A5, SULT!$A$2:$M$21, 3, FALSE)</f>
        <v>3.5599999999999998E-4</v>
      </c>
      <c r="C5">
        <f>VLOOKUP(A5, SULT!$A$2:$M$21, 2, FALSE)</f>
        <v>99629.3</v>
      </c>
      <c r="D5">
        <v>0.99901732023227341</v>
      </c>
    </row>
    <row r="6" spans="1:4">
      <c r="A6">
        <v>34</v>
      </c>
      <c r="B6">
        <f>VLOOKUP(A6, SULT!$A$2:$M$21, 3, FALSE)</f>
        <v>3.7199999999999999E-4</v>
      </c>
      <c r="C6">
        <f>VLOOKUP(A6, SULT!$A$2:$M$21, 2, FALSE)</f>
        <v>99593.8</v>
      </c>
      <c r="D6">
        <v>0.99866134950008678</v>
      </c>
    </row>
    <row r="7" spans="1:4">
      <c r="A7">
        <v>35</v>
      </c>
      <c r="B7">
        <f>VLOOKUP(A7, SULT!$A$2:$M$21, 3, FALSE)</f>
        <v>3.9100000000000002E-4</v>
      </c>
      <c r="C7">
        <f>VLOOKUP(A7, SULT!$A$2:$M$21, 2, FALSE)</f>
        <v>99556.7</v>
      </c>
      <c r="D7">
        <v>0.99828933501659023</v>
      </c>
    </row>
    <row r="8" spans="1:4">
      <c r="A8">
        <v>36</v>
      </c>
      <c r="B8">
        <f>VLOOKUP(A8, SULT!$A$2:$M$21, 3, FALSE)</f>
        <v>4.1199999999999999E-4</v>
      </c>
      <c r="C8">
        <f>VLOOKUP(A8, SULT!$A$2:$M$21, 2, FALSE)</f>
        <v>99517.8</v>
      </c>
      <c r="D8">
        <v>0.99789927131287015</v>
      </c>
    </row>
    <row r="9" spans="1:4">
      <c r="A9">
        <v>37</v>
      </c>
      <c r="B9">
        <f>VLOOKUP(A9, SULT!$A$2:$M$21, 3, FALSE)</f>
        <v>4.3600000000000003E-4</v>
      </c>
      <c r="C9">
        <f>VLOOKUP(A9, SULT!$A$2:$M$21, 2, FALSE)</f>
        <v>99476.7</v>
      </c>
      <c r="D9">
        <v>0.99748714745109912</v>
      </c>
    </row>
    <row r="10" spans="1:4">
      <c r="A10">
        <v>38</v>
      </c>
      <c r="B10">
        <f>VLOOKUP(A10, SULT!$A$2:$M$21, 3, FALSE)</f>
        <v>4.6299999999999998E-4</v>
      </c>
      <c r="C10">
        <f>VLOOKUP(A10, SULT!$A$2:$M$21, 2, FALSE)</f>
        <v>99433.3</v>
      </c>
      <c r="D10">
        <v>0.99705196069682023</v>
      </c>
    </row>
    <row r="11" spans="1:4">
      <c r="A11">
        <v>39</v>
      </c>
      <c r="B11">
        <f>VLOOKUP(A11, SULT!$A$2:$M$21, 3, FALSE)</f>
        <v>4.9299999999999995E-4</v>
      </c>
      <c r="C11">
        <f>VLOOKUP(A11, SULT!$A$2:$M$21, 2, FALSE)</f>
        <v>99387.3</v>
      </c>
      <c r="D11">
        <v>0.99659070284666285</v>
      </c>
    </row>
    <row r="12" spans="1:4">
      <c r="A12">
        <v>40</v>
      </c>
      <c r="B12">
        <f>VLOOKUP(A12, SULT!$A$2:$M$21, 3, FALSE)</f>
        <v>5.2700000000000002E-4</v>
      </c>
      <c r="C12">
        <f>VLOOKUP(A12, SULT!$A$2:$M$21, 2, FALSE)</f>
        <v>99338.3</v>
      </c>
      <c r="D12">
        <v>0.99609936296279955</v>
      </c>
    </row>
    <row r="13" spans="1:4">
      <c r="A13">
        <v>41</v>
      </c>
      <c r="B13">
        <f>VLOOKUP(A13, SULT!$A$2:$M$21, 3, FALSE)</f>
        <v>5.6499999999999996E-4</v>
      </c>
      <c r="C13">
        <f>VLOOKUP(A13, SULT!$A$2:$M$21, 2, FALSE)</f>
        <v>99285.9</v>
      </c>
      <c r="D13">
        <v>0.9955739301074028</v>
      </c>
    </row>
    <row r="14" spans="1:4">
      <c r="A14">
        <v>42</v>
      </c>
      <c r="B14">
        <f>VLOOKUP(A14, SULT!$A$2:$M$21, 3, FALSE)</f>
        <v>6.0800000000000003E-4</v>
      </c>
      <c r="C14">
        <f>VLOOKUP(A14, SULT!$A$2:$M$21, 2, FALSE)</f>
        <v>99229.8</v>
      </c>
      <c r="D14">
        <v>0.99501139607710221</v>
      </c>
    </row>
    <row r="15" spans="1:4">
      <c r="A15">
        <v>43</v>
      </c>
      <c r="B15">
        <f>VLOOKUP(A15, SULT!$A$2:$M$21, 3, FALSE)</f>
        <v>6.5600000000000001E-4</v>
      </c>
      <c r="C15">
        <f>VLOOKUP(A15, SULT!$A$2:$M$21, 2, FALSE)</f>
        <v>99169.4</v>
      </c>
      <c r="D15">
        <v>0.99440574446515639</v>
      </c>
    </row>
    <row r="16" spans="1:4">
      <c r="A16">
        <v>44</v>
      </c>
      <c r="B16">
        <f>VLOOKUP(A16, SULT!$A$2:$M$21, 3, FALSE)</f>
        <v>7.1000000000000002E-4</v>
      </c>
      <c r="C16">
        <f>VLOOKUP(A16, SULT!$A$2:$M$21, 2, FALSE)</f>
        <v>99104.3</v>
      </c>
      <c r="D16">
        <v>0.99375296433373805</v>
      </c>
    </row>
    <row r="17" spans="1:4">
      <c r="A17">
        <v>45</v>
      </c>
      <c r="B17">
        <f>VLOOKUP(A17, SULT!$A$2:$M$21, 3, FALSE)</f>
        <v>7.7099999999999998E-4</v>
      </c>
      <c r="C17">
        <f>VLOOKUP(A17, SULT!$A$2:$M$21, 2, FALSE)</f>
        <v>99033.9</v>
      </c>
      <c r="D17">
        <v>0.99304703927610583</v>
      </c>
    </row>
    <row r="18" spans="1:4">
      <c r="A18">
        <v>46</v>
      </c>
      <c r="B18">
        <f>VLOOKUP(A18, SULT!$A$2:$M$21, 3, FALSE)</f>
        <v>8.3900000000000001E-4</v>
      </c>
      <c r="C18">
        <f>VLOOKUP(A18, SULT!$A$2:$M$21, 2, FALSE)</f>
        <v>98957.6</v>
      </c>
      <c r="D18">
        <v>0.99228195288551879</v>
      </c>
    </row>
    <row r="19" spans="1:4">
      <c r="A19">
        <v>47</v>
      </c>
      <c r="B19">
        <f>VLOOKUP(A19, SULT!$A$2:$M$21, 3, FALSE)</f>
        <v>9.1600000000000004E-4</v>
      </c>
      <c r="C19">
        <f>VLOOKUP(A19, SULT!$A$2:$M$21, 2, FALSE)</f>
        <v>98874.5</v>
      </c>
      <c r="D19">
        <v>0.99144868055186486</v>
      </c>
    </row>
    <row r="20" spans="1:4">
      <c r="A20">
        <v>48</v>
      </c>
      <c r="B20">
        <f>VLOOKUP(A20, SULT!$A$2:$M$21, 3, FALSE)</f>
        <v>1.003E-3</v>
      </c>
      <c r="C20">
        <f>VLOOKUP(A20, SULT!$A$2:$M$21, 2, FALSE)</f>
        <v>98783.9</v>
      </c>
      <c r="D20">
        <v>0.9905402031339462</v>
      </c>
    </row>
    <row r="21" spans="1:4">
      <c r="A21">
        <v>49</v>
      </c>
      <c r="B21">
        <f>VLOOKUP(A21, SULT!$A$2:$M$21, 3, FALSE)</f>
        <v>1.1000000000000001E-3</v>
      </c>
      <c r="C21">
        <f>VLOOKUP(A21, SULT!$A$2:$M$21, 2, FALSE)</f>
        <v>98684.9</v>
      </c>
      <c r="D21">
        <v>0.98954749602165093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SULT</vt:lpstr>
      <vt:lpstr>qx_extracted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2026-04-25T08:45:24Z</dcterms:created>
  <dcterms:modified xsi:type="dcterms:W3CDTF">2026-04-25T09:33:27Z</dcterms:modified>
</cp:coreProperties>
</file>